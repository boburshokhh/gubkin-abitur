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rorektor-education\Desktop\"/>
    </mc:Choice>
  </mc:AlternateContent>
  <bookViews>
    <workbookView xWindow="0" yWindow="0" windowWidth="20445" windowHeight="11055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9" i="1" l="1"/>
  <c r="I23" i="1" l="1"/>
</calcChain>
</file>

<file path=xl/sharedStrings.xml><?xml version="1.0" encoding="utf-8"?>
<sst xmlns="http://schemas.openxmlformats.org/spreadsheetml/2006/main" count="21" uniqueCount="21">
  <si>
    <t>По регионам</t>
  </si>
  <si>
    <t>Российская Федерация</t>
  </si>
  <si>
    <t>Хорезмская область</t>
  </si>
  <si>
    <t>город Ташкент</t>
  </si>
  <si>
    <t>Ферганская область</t>
  </si>
  <si>
    <t>Ташкентская область</t>
  </si>
  <si>
    <t>Сурхандарьинская область</t>
  </si>
  <si>
    <t>Самаркандская область</t>
  </si>
  <si>
    <t>Сырдарьинская область</t>
  </si>
  <si>
    <t>Республика Каракалпакстан</t>
  </si>
  <si>
    <t>Наманганская область</t>
  </si>
  <si>
    <t>Навоийская область</t>
  </si>
  <si>
    <t>Кашкадарьинская область</t>
  </si>
  <si>
    <t>Джизакская область</t>
  </si>
  <si>
    <t>Бухарская область</t>
  </si>
  <si>
    <t>Андижанская область</t>
  </si>
  <si>
    <t xml:space="preserve">Статистика </t>
  </si>
  <si>
    <t>по датам</t>
  </si>
  <si>
    <t>всего</t>
  </si>
  <si>
    <t>Республика Таджикистан</t>
  </si>
  <si>
    <t>на дату 30.06.2024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</si>
</sst>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Alignment="1"/>
    <xf numFmtId="0" fontId="0" fillId="0" borderId="0" xfId="0" applyAlignment="1"/>
    <xf numFmtId="0" fontId="0" fillId="0" borderId="0" xfId="0" applyAlignment="1">
      <alignment wrapText="1"/>
    </xf>
    <xf numFmtId="164" fontId="0" fillId="0" borderId="0" xfId="0" applyNumberFormat="1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Статистика поступивших документов по регионам</a:t>
            </a:r>
          </a:p>
        </c:rich>
      </c:tx>
      <c:layout>
        <c:manualLayout>
          <c:xMode val="edge"/>
          <c:yMode val="edge"/>
          <c:x val="0.39997894293535502"/>
          <c:y val="2.71063925909194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ru-RU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8516771127150566"/>
          <c:y val="0.14029051054993374"/>
          <c:w val="0.7701155997408391"/>
          <c:h val="0.7473941674506110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Лист1!$G$8:$G$23</c:f>
              <c:strCache>
                <c:ptCount val="16"/>
                <c:pt idx="0">
                  <c:v>Российская Федерация</c:v>
                </c:pt>
                <c:pt idx="1">
                  <c:v>Республика Таджикистан</c:v>
                </c:pt>
                <c:pt idx="2">
                  <c:v>город Ташкент</c:v>
                </c:pt>
                <c:pt idx="3">
                  <c:v>Хорезмская область</c:v>
                </c:pt>
                <c:pt idx="4">
                  <c:v>Ферганская область</c:v>
                </c:pt>
                <c:pt idx="5">
                  <c:v>Ташкентская область</c:v>
                </c:pt>
                <c:pt idx="6">
                  <c:v>Сурхандарьинская область</c:v>
                </c:pt>
                <c:pt idx="7">
                  <c:v>Сырдарьинская область</c:v>
                </c:pt>
                <c:pt idx="8">
                  <c:v>Самаркандская область</c:v>
                </c:pt>
                <c:pt idx="9">
                  <c:v>Наманганская область</c:v>
                </c:pt>
                <c:pt idx="10">
                  <c:v>Навоийская область</c:v>
                </c:pt>
                <c:pt idx="11">
                  <c:v>Кашкадарьинская область</c:v>
                </c:pt>
                <c:pt idx="12">
                  <c:v>Джизакская область</c:v>
                </c:pt>
                <c:pt idx="13">
                  <c:v>Бухарская область</c:v>
                </c:pt>
                <c:pt idx="14">
                  <c:v>Андижанская область</c:v>
                </c:pt>
                <c:pt idx="15">
                  <c:v>Республика Каракалпакстан</c:v>
                </c:pt>
              </c:strCache>
            </c:strRef>
          </c:cat>
          <c:val>
            <c:numRef>
              <c:f>Лист1!$H$8:$H$23</c:f>
              <c:numCache>
                <c:formatCode>General</c:formatCode>
                <c:ptCount val="16"/>
                <c:pt idx="0">
                  <c:v>5</c:v>
                </c:pt>
                <c:pt idx="1">
                  <c:v>1</c:v>
                </c:pt>
                <c:pt idx="2">
                  <c:v>251</c:v>
                </c:pt>
                <c:pt idx="3">
                  <c:v>5</c:v>
                </c:pt>
                <c:pt idx="4">
                  <c:v>8</c:v>
                </c:pt>
                <c:pt idx="5">
                  <c:v>83</c:v>
                </c:pt>
                <c:pt idx="6">
                  <c:v>6</c:v>
                </c:pt>
                <c:pt idx="7">
                  <c:v>1</c:v>
                </c:pt>
                <c:pt idx="8">
                  <c:v>18</c:v>
                </c:pt>
                <c:pt idx="9">
                  <c:v>4</c:v>
                </c:pt>
                <c:pt idx="10">
                  <c:v>6</c:v>
                </c:pt>
                <c:pt idx="11">
                  <c:v>45</c:v>
                </c:pt>
                <c:pt idx="12">
                  <c:v>4</c:v>
                </c:pt>
                <c:pt idx="13">
                  <c:v>74</c:v>
                </c:pt>
                <c:pt idx="14">
                  <c:v>12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A-45F4-BC6F-FDBDC6FBB8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9845357"/>
        <c:axId val="834187746"/>
      </c:barChart>
      <c:catAx>
        <c:axId val="28984535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4187746"/>
        <c:crosses val="autoZero"/>
        <c:auto val="1"/>
        <c:lblAlgn val="ctr"/>
        <c:lblOffset val="100"/>
        <c:noMultiLvlLbl val="0"/>
      </c:catAx>
      <c:valAx>
        <c:axId val="834187746"/>
        <c:scaling>
          <c:orientation val="minMax"/>
          <c:max val="22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8453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320" b="1" i="0" u="none" strike="noStrike" kern="1200" baseline="0">
                <a:solidFill>
                  <a:srgbClr val="800000"/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r>
              <a:rPr lang="ru-RU" sz="1320">
                <a:solidFill>
                  <a:srgbClr val="800000"/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rPr>
              <a:t>СТАТИСТИКА ПО ПРИЕМУ ДОКУМЕНТОВ ПО ДАТАМ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ru-RU" sz="1320" b="1" i="0" u="none" strike="noStrike" kern="1200" baseline="0">
              <a:solidFill>
                <a:srgbClr val="800000"/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7960408124273678E-2"/>
          <c:y val="0.148997134670487"/>
          <c:w val="0.89491764522570472"/>
          <c:h val="0.6169627507163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Лист1!$P$26</c:f>
              <c:strCache>
                <c:ptCount val="1"/>
                <c:pt idx="0">
                  <c:v>по датам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3.26873686668223E-2"/>
                  <c:y val="-4.01146131805157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163-4228-81BA-6D7311D60DB7}"/>
                </c:ext>
              </c:extLst>
            </c:dLbl>
            <c:dLbl>
              <c:idx val="1"/>
              <c:layout>
                <c:manualLayout>
                  <c:x val="3.03525566191921E-2"/>
                  <c:y val="-3.151862464183380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163-4228-81BA-6D7311D60DB7}"/>
                </c:ext>
              </c:extLst>
            </c:dLbl>
            <c:dLbl>
              <c:idx val="2"/>
              <c:layout>
                <c:manualLayout>
                  <c:x val="3.439929242482944E-2"/>
                  <c:y val="-4.263937030715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195-4FC2-9067-1B4C7E4880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100" b="0" i="0" u="none" strike="noStrike" kern="1200" baseline="0">
                    <a:solidFill>
                      <a:srgbClr val="800000"/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Лист1!$O$27:$O$40</c:f>
              <c:numCache>
                <c:formatCode>dd\.mm\.yyyy</c:formatCode>
                <c:ptCount val="14"/>
                <c:pt idx="0">
                  <c:v>45458</c:v>
                </c:pt>
                <c:pt idx="1">
                  <c:v>45460</c:v>
                </c:pt>
                <c:pt idx="2">
                  <c:v>45461</c:v>
                </c:pt>
                <c:pt idx="3">
                  <c:v>45462</c:v>
                </c:pt>
                <c:pt idx="4">
                  <c:v>45463</c:v>
                </c:pt>
                <c:pt idx="5">
                  <c:v>45464</c:v>
                </c:pt>
                <c:pt idx="6">
                  <c:v>45465</c:v>
                </c:pt>
                <c:pt idx="7">
                  <c:v>45467</c:v>
                </c:pt>
                <c:pt idx="8" formatCode="m/d/yyyy">
                  <c:v>45468</c:v>
                </c:pt>
                <c:pt idx="9" formatCode="m/d/yyyy">
                  <c:v>45469</c:v>
                </c:pt>
                <c:pt idx="10" formatCode="m/d/yyyy">
                  <c:v>45470</c:v>
                </c:pt>
                <c:pt idx="11" formatCode="m/d/yyyy">
                  <c:v>45471</c:v>
                </c:pt>
                <c:pt idx="12" formatCode="m/d/yyyy">
                  <c:v>45472</c:v>
                </c:pt>
                <c:pt idx="13" formatCode="m/d/yyyy">
                  <c:v>45473</c:v>
                </c:pt>
              </c:numCache>
            </c:numRef>
          </c:cat>
          <c:val>
            <c:numRef>
              <c:f>Лист1!$P$27:$P$40</c:f>
              <c:numCache>
                <c:formatCode>General</c:formatCode>
                <c:ptCount val="14"/>
                <c:pt idx="0">
                  <c:v>4</c:v>
                </c:pt>
                <c:pt idx="1">
                  <c:v>8</c:v>
                </c:pt>
                <c:pt idx="2">
                  <c:v>14</c:v>
                </c:pt>
                <c:pt idx="3">
                  <c:v>25</c:v>
                </c:pt>
                <c:pt idx="4">
                  <c:v>45</c:v>
                </c:pt>
                <c:pt idx="5">
                  <c:v>42</c:v>
                </c:pt>
                <c:pt idx="6">
                  <c:v>75</c:v>
                </c:pt>
                <c:pt idx="7">
                  <c:v>75</c:v>
                </c:pt>
                <c:pt idx="8">
                  <c:v>70</c:v>
                </c:pt>
                <c:pt idx="9">
                  <c:v>56</c:v>
                </c:pt>
                <c:pt idx="10">
                  <c:v>56</c:v>
                </c:pt>
                <c:pt idx="11">
                  <c:v>53</c:v>
                </c:pt>
                <c:pt idx="12">
                  <c:v>67</c:v>
                </c:pt>
                <c:pt idx="1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3-4228-81BA-6D7311D60DB7}"/>
            </c:ext>
          </c:extLst>
        </c:ser>
        <c:ser>
          <c:idx val="1"/>
          <c:order val="1"/>
          <c:tx>
            <c:strRef>
              <c:f>Лист1!$Q$26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2.1013308428671499E-2"/>
                  <c:y val="-6.01719197707736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163-4228-81BA-6D7311D60DB7}"/>
                </c:ext>
              </c:extLst>
            </c:dLbl>
            <c:dLbl>
              <c:idx val="1"/>
              <c:layout>
                <c:manualLayout>
                  <c:x val="-9.3392481905206597E-3"/>
                  <c:y val="-6.59025787965615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163-4228-81BA-6D7311D60DB7}"/>
                </c:ext>
              </c:extLst>
            </c:dLbl>
            <c:dLbl>
              <c:idx val="2"/>
              <c:layout>
                <c:manualLayout>
                  <c:x val="-2.134858349122774E-2"/>
                  <c:y val="-5.68524937428682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195-4FC2-9067-1B4C7E4880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100" b="0" i="0" u="none" strike="noStrike" kern="1200" baseline="0">
                    <a:solidFill>
                      <a:srgbClr val="800000"/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Лист1!$O$27:$O$40</c:f>
              <c:numCache>
                <c:formatCode>dd\.mm\.yyyy</c:formatCode>
                <c:ptCount val="14"/>
                <c:pt idx="0">
                  <c:v>45458</c:v>
                </c:pt>
                <c:pt idx="1">
                  <c:v>45460</c:v>
                </c:pt>
                <c:pt idx="2">
                  <c:v>45461</c:v>
                </c:pt>
                <c:pt idx="3">
                  <c:v>45462</c:v>
                </c:pt>
                <c:pt idx="4">
                  <c:v>45463</c:v>
                </c:pt>
                <c:pt idx="5">
                  <c:v>45464</c:v>
                </c:pt>
                <c:pt idx="6">
                  <c:v>45465</c:v>
                </c:pt>
                <c:pt idx="7">
                  <c:v>45467</c:v>
                </c:pt>
                <c:pt idx="8" formatCode="m/d/yyyy">
                  <c:v>45468</c:v>
                </c:pt>
                <c:pt idx="9" formatCode="m/d/yyyy">
                  <c:v>45469</c:v>
                </c:pt>
                <c:pt idx="10" formatCode="m/d/yyyy">
                  <c:v>45470</c:v>
                </c:pt>
                <c:pt idx="11" formatCode="m/d/yyyy">
                  <c:v>45471</c:v>
                </c:pt>
                <c:pt idx="12" formatCode="m/d/yyyy">
                  <c:v>45472</c:v>
                </c:pt>
                <c:pt idx="13" formatCode="m/d/yyyy">
                  <c:v>45473</c:v>
                </c:pt>
              </c:numCache>
            </c:numRef>
          </c:cat>
          <c:val>
            <c:numRef>
              <c:f>Лист1!$Q$27:$Q$40</c:f>
              <c:numCache>
                <c:formatCode>General</c:formatCode>
                <c:ptCount val="14"/>
                <c:pt idx="0">
                  <c:v>4</c:v>
                </c:pt>
                <c:pt idx="1">
                  <c:v>12</c:v>
                </c:pt>
                <c:pt idx="2">
                  <c:v>26</c:v>
                </c:pt>
                <c:pt idx="3">
                  <c:v>51</c:v>
                </c:pt>
                <c:pt idx="4">
                  <c:v>96</c:v>
                </c:pt>
                <c:pt idx="5">
                  <c:v>138</c:v>
                </c:pt>
                <c:pt idx="6">
                  <c:v>213</c:v>
                </c:pt>
                <c:pt idx="7">
                  <c:v>288</c:v>
                </c:pt>
                <c:pt idx="8">
                  <c:v>358</c:v>
                </c:pt>
                <c:pt idx="9">
                  <c:v>414</c:v>
                </c:pt>
                <c:pt idx="10">
                  <c:v>470</c:v>
                </c:pt>
                <c:pt idx="11">
                  <c:v>523</c:v>
                </c:pt>
                <c:pt idx="12">
                  <c:v>590</c:v>
                </c:pt>
                <c:pt idx="13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63-4228-81BA-6D7311D60D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3749822"/>
        <c:axId val="835442037"/>
      </c:barChart>
      <c:catAx>
        <c:axId val="163749822"/>
        <c:scaling>
          <c:orientation val="minMax"/>
        </c:scaling>
        <c:delete val="0"/>
        <c:axPos val="b"/>
        <c:numFmt formatCode="dd\.mm\.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100" b="0" i="0" u="none" strike="noStrike" kern="1200" baseline="0">
                <a:solidFill>
                  <a:srgbClr val="800000"/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endParaRPr lang="ru-RU"/>
          </a:p>
        </c:txPr>
        <c:crossAx val="835442037"/>
        <c:crosses val="autoZero"/>
        <c:auto val="0"/>
        <c:lblAlgn val="ctr"/>
        <c:lblOffset val="100"/>
        <c:noMultiLvlLbl val="0"/>
      </c:catAx>
      <c:valAx>
        <c:axId val="835442037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100" b="0" i="0" u="none" strike="noStrike" kern="1200" baseline="0">
                    <a:solidFill>
                      <a:srgbClr val="800000"/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lang="ru-RU" sz="1100">
                    <a:solidFill>
                      <a:srgbClr val="800000"/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rPr>
                  <a:t>Количество поступившиш документов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ru-RU" sz="1100" b="0" i="0" u="none" strike="noStrike" kern="1200" baseline="0">
                  <a:solidFill>
                    <a:srgbClr val="800000"/>
                  </a:solidFill>
                  <a:latin typeface="Cambria" panose="02040503050406030204" charset="0"/>
                  <a:ea typeface="Cambria" panose="02040503050406030204" charset="0"/>
                  <a:cs typeface="Cambria" panose="02040503050406030204" charset="0"/>
                  <a:sym typeface="Cambria" panose="0204050305040603020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100" b="0" i="0" u="none" strike="noStrike" kern="1200" baseline="0">
                <a:solidFill>
                  <a:srgbClr val="800000"/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endParaRPr lang="ru-RU"/>
          </a:p>
        </c:txPr>
        <c:crossAx val="16374982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ru-RU" sz="1000" b="0" i="0" u="none" strike="noStrike" kern="1200" baseline="0">
                <a:solidFill>
                  <a:srgbClr val="800000"/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 sz="1100">
          <a:solidFill>
            <a:srgbClr val="800000"/>
          </a:solidFill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212090</xdr:colOff>
      <xdr:row>25</xdr:row>
      <xdr:rowOff>102870</xdr:rowOff>
    </xdr:from>
    <xdr:to>
      <xdr:col>11</xdr:col>
      <xdr:colOff>381000</xdr:colOff>
      <xdr:row>42</xdr:row>
      <xdr:rowOff>142874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493207</xdr:colOff>
      <xdr:row>44</xdr:row>
      <xdr:rowOff>105754</xdr:rowOff>
    </xdr:from>
    <xdr:to>
      <xdr:col>13</xdr:col>
      <xdr:colOff>313765</xdr:colOff>
      <xdr:row>68</xdr:row>
      <xdr:rowOff>1456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40"/>
  <sheetViews>
    <sheetView tabSelected="1" topLeftCell="A31" zoomScale="85" zoomScaleNormal="85" workbookViewId="0">
      <selection activeCell="O58" sqref="O58"/>
    </sheetView>
  </sheetViews>
  <sheetFormatPr defaultColWidth="9" defaultRowHeight="15"/>
  <cols>
    <col min="4" max="4" width="20.42578125" customWidth="1"/>
    <col min="5" max="5" width="11.42578125" customWidth="1"/>
    <col min="7" max="7" width="29" customWidth="1"/>
    <col min="8" max="8" width="9.5703125" customWidth="1"/>
    <col min="11" max="11" width="29.140625" bestFit="1" customWidth="1"/>
    <col min="15" max="15" width="10.85546875"/>
    <col min="16" max="16" width="31.28515625" customWidth="1"/>
  </cols>
  <sheetData>
    <row r="5" spans="1:13">
      <c r="A5" s="8" t="s">
        <v>20</v>
      </c>
      <c r="B5" s="8"/>
      <c r="C5" s="8"/>
      <c r="D5" s="8"/>
      <c r="E5" s="8"/>
    </row>
    <row r="7" spans="1:13">
      <c r="G7" t="s">
        <v>0</v>
      </c>
    </row>
    <row r="8" spans="1:13">
      <c r="G8" s="1" t="s">
        <v>1</v>
      </c>
      <c r="H8" s="1">
        <v>5</v>
      </c>
    </row>
    <row r="9" spans="1:13" ht="14.25" customHeight="1">
      <c r="G9" t="s">
        <v>19</v>
      </c>
      <c r="H9">
        <v>1</v>
      </c>
      <c r="I9" s="3"/>
      <c r="J9" s="3"/>
      <c r="K9" s="1"/>
      <c r="M9" s="3"/>
    </row>
    <row r="10" spans="1:13">
      <c r="G10" s="1" t="s">
        <v>3</v>
      </c>
      <c r="H10" s="1">
        <v>251</v>
      </c>
      <c r="K10" s="1"/>
      <c r="L10" s="1"/>
    </row>
    <row r="11" spans="1:13">
      <c r="G11" s="1" t="s">
        <v>2</v>
      </c>
      <c r="H11" s="1">
        <v>5</v>
      </c>
      <c r="K11" s="1"/>
    </row>
    <row r="12" spans="1:13">
      <c r="G12" s="1" t="s">
        <v>4</v>
      </c>
      <c r="H12" s="1">
        <v>8</v>
      </c>
      <c r="K12" s="1"/>
      <c r="L12" s="1"/>
    </row>
    <row r="13" spans="1:13">
      <c r="G13" s="1" t="s">
        <v>5</v>
      </c>
      <c r="H13" s="1">
        <v>83</v>
      </c>
      <c r="K13" s="1"/>
      <c r="L13" s="1"/>
    </row>
    <row r="14" spans="1:13">
      <c r="G14" s="1" t="s">
        <v>6</v>
      </c>
      <c r="H14" s="1">
        <v>6</v>
      </c>
      <c r="K14" s="1"/>
    </row>
    <row r="15" spans="1:13">
      <c r="G15" s="1" t="s">
        <v>8</v>
      </c>
      <c r="H15" s="1">
        <v>1</v>
      </c>
      <c r="K15" s="1"/>
      <c r="L15" s="1"/>
    </row>
    <row r="16" spans="1:13">
      <c r="G16" s="1" t="s">
        <v>7</v>
      </c>
      <c r="H16" s="1">
        <v>18</v>
      </c>
      <c r="K16" s="1"/>
      <c r="L16" s="1"/>
    </row>
    <row r="17" spans="2:17">
      <c r="G17" s="1" t="s">
        <v>10</v>
      </c>
      <c r="H17" s="1">
        <v>4</v>
      </c>
      <c r="K17" s="1"/>
      <c r="L17" s="1"/>
    </row>
    <row r="18" spans="2:17">
      <c r="C18" s="2"/>
      <c r="G18" s="1" t="s">
        <v>11</v>
      </c>
      <c r="H18" s="1">
        <v>6</v>
      </c>
      <c r="K18" s="1"/>
      <c r="L18" s="1"/>
    </row>
    <row r="19" spans="2:17">
      <c r="G19" s="1" t="s">
        <v>12</v>
      </c>
      <c r="H19" s="1">
        <v>45</v>
      </c>
      <c r="K19" s="1"/>
    </row>
    <row r="20" spans="2:17">
      <c r="G20" s="1" t="s">
        <v>13</v>
      </c>
      <c r="H20" s="1">
        <v>4</v>
      </c>
      <c r="K20" s="1"/>
      <c r="L20" s="1"/>
    </row>
    <row r="21" spans="2:17">
      <c r="G21" s="1" t="s">
        <v>14</v>
      </c>
      <c r="H21" s="1">
        <v>74</v>
      </c>
      <c r="K21" s="1"/>
      <c r="L21" s="1"/>
    </row>
    <row r="22" spans="2:17">
      <c r="G22" s="1" t="s">
        <v>15</v>
      </c>
      <c r="H22" s="1">
        <v>12</v>
      </c>
      <c r="K22" s="1"/>
    </row>
    <row r="23" spans="2:17" ht="16.5" customHeight="1">
      <c r="B23" s="3"/>
      <c r="G23" s="1" t="s">
        <v>9</v>
      </c>
      <c r="H23" s="1">
        <v>100</v>
      </c>
      <c r="I23">
        <f>SUM(H11:H22)</f>
        <v>266</v>
      </c>
      <c r="K23" s="1"/>
      <c r="L23" s="1"/>
    </row>
    <row r="25" spans="2:17">
      <c r="O25" s="9" t="s">
        <v>16</v>
      </c>
      <c r="P25" s="9"/>
    </row>
    <row r="26" spans="2:17">
      <c r="P26" t="s">
        <v>17</v>
      </c>
      <c r="Q26" s="6" t="s">
        <v>18</v>
      </c>
    </row>
    <row r="27" spans="2:17">
      <c r="O27" s="4">
        <v>45458</v>
      </c>
      <c r="P27" s="5">
        <v>4</v>
      </c>
      <c r="Q27" s="1">
        <v>4</v>
      </c>
    </row>
    <row r="28" spans="2:17">
      <c r="O28" s="4">
        <v>45460</v>
      </c>
      <c r="P28" s="5">
        <v>8</v>
      </c>
      <c r="Q28" s="1">
        <v>12</v>
      </c>
    </row>
    <row r="29" spans="2:17">
      <c r="O29" s="4">
        <v>45461</v>
      </c>
      <c r="P29" s="5">
        <v>14</v>
      </c>
      <c r="Q29" s="1">
        <v>26</v>
      </c>
    </row>
    <row r="30" spans="2:17">
      <c r="O30" s="4">
        <v>45462</v>
      </c>
      <c r="P30" s="5">
        <v>25</v>
      </c>
      <c r="Q30" s="1">
        <v>51</v>
      </c>
    </row>
    <row r="31" spans="2:17">
      <c r="O31" s="4">
        <v>45463</v>
      </c>
      <c r="P31" s="5">
        <v>45</v>
      </c>
      <c r="Q31" s="1">
        <v>96</v>
      </c>
    </row>
    <row r="32" spans="2:17">
      <c r="O32" s="4">
        <v>45464</v>
      </c>
      <c r="P32" s="5">
        <v>42</v>
      </c>
      <c r="Q32" s="1">
        <v>138</v>
      </c>
    </row>
    <row r="33" spans="15:17">
      <c r="O33" s="4">
        <v>45465</v>
      </c>
      <c r="P33" s="5">
        <v>75</v>
      </c>
      <c r="Q33" s="1">
        <v>213</v>
      </c>
    </row>
    <row r="34" spans="15:17">
      <c r="O34" s="4">
        <v>45467</v>
      </c>
      <c r="P34" s="5">
        <v>75</v>
      </c>
      <c r="Q34" s="1">
        <v>288</v>
      </c>
    </row>
    <row r="35" spans="15:17">
      <c r="O35" s="7">
        <v>45468</v>
      </c>
      <c r="P35" s="5">
        <v>70</v>
      </c>
      <c r="Q35" s="1">
        <v>358</v>
      </c>
    </row>
    <row r="36" spans="15:17">
      <c r="O36" s="7">
        <v>45469</v>
      </c>
      <c r="P36" s="5">
        <v>56</v>
      </c>
      <c r="Q36">
        <v>414</v>
      </c>
    </row>
    <row r="37" spans="15:17">
      <c r="O37" s="7">
        <v>45470</v>
      </c>
      <c r="P37" s="5">
        <v>56</v>
      </c>
      <c r="Q37">
        <v>470</v>
      </c>
    </row>
    <row r="38" spans="15:17">
      <c r="O38" s="7">
        <v>45471</v>
      </c>
      <c r="P38" s="5">
        <v>53</v>
      </c>
      <c r="Q38">
        <v>523</v>
      </c>
    </row>
    <row r="39" spans="15:17">
      <c r="O39" s="7">
        <v>45472</v>
      </c>
      <c r="P39" s="5">
        <v>67</v>
      </c>
      <c r="Q39">
        <f>Q40-P40</f>
        <v>590</v>
      </c>
    </row>
    <row r="40" spans="15:17">
      <c r="O40" s="7">
        <v>45473</v>
      </c>
      <c r="P40" s="5">
        <v>51</v>
      </c>
      <c r="Q40">
        <v>641</v>
      </c>
    </row>
  </sheetData>
  <mergeCells count="2">
    <mergeCell ref="A5:E5"/>
    <mergeCell ref="O25:P25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Komol N. Gafurov</cp:lastModifiedBy>
  <dcterms:created xsi:type="dcterms:W3CDTF">2015-06-05T18:19:00Z</dcterms:created>
  <dcterms:modified xsi:type="dcterms:W3CDTF">2024-06-30T14:43:10Z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655BC4B0CE124293B3DEBC19996F31E9_12</vt:lpwstr>
  </property>
  <property fmtid="{D5CDD505-2E9C-101B-9397-08002B2CF9AE}" pid="3" name="KSOProductBuildVer">
    <vt:lpwstr>1049-12.2.0.16909</vt:lpwstr>
  </property>
</Properties>
</file>